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uji\Documents\VScode\VB_Excel\bin\"/>
    </mc:Choice>
  </mc:AlternateContent>
  <xr:revisionPtr revIDLastSave="0" documentId="13_ncr:1_{B74CC004-1683-4BF0-9E8E-2E156AC6AF8C}" xr6:coauthVersionLast="45" xr6:coauthVersionMax="45" xr10:uidLastSave="{00000000-0000-0000-0000-000000000000}"/>
  <bookViews>
    <workbookView xWindow="1005" yWindow="975" windowWidth="20730" windowHeight="13965" xr2:uid="{19ED84DA-1A7A-4A27-A273-174F07E7EAF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1" i="1" l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42" i="1"/>
  <c r="H33" i="1"/>
  <c r="H32" i="1"/>
  <c r="H31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1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1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1" i="1"/>
  <c r="F29" i="1"/>
  <c r="H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" i="1"/>
  <c r="E29" i="1"/>
  <c r="D29" i="1"/>
  <c r="F28" i="1"/>
  <c r="E28" i="1"/>
  <c r="D28" i="1"/>
  <c r="F27" i="1"/>
  <c r="E27" i="1"/>
  <c r="D1" i="1"/>
  <c r="D27" i="1" s="1"/>
  <c r="D31" i="1" s="1" a="1"/>
  <c r="D31" i="1" s="1"/>
  <c r="D36" i="1" s="1" a="1"/>
  <c r="D36" i="1" s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1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1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1" i="1"/>
  <c r="D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<sst xmlns="http://schemas.openxmlformats.org/spreadsheetml/2006/main" count="2" uniqueCount="2">
  <si>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x</t>
    <phoneticPr fontId="1"/>
  </si>
  <si>
    <t>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</si>
</sst>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39AB6-E324-477B-AA90-A1F776C4B207}">
  <sheetPr codeName="Sheet1"/>
  <dimension ref="A1:K65"/>
  <sheetViews>
    <sheetView tabSelected="1" workbookViewId="0">
      <selection activeCell="F6" sqref="F6"/>
    </sheetView>
  </sheetViews>
  <sheetFormatPr defaultRowHeight="18.75" x14ac:dyDescent="0.4"/>
  <cols>
    <col min="4" max="4" width="13.375" bestFit="1" customWidth="1"/>
    <col min="5" max="5" width="9.5" bestFit="1" customWidth="1"/>
    <col min="8" max="8" width="9.5" bestFit="1" customWidth="1"/>
  </cols>
  <sheetData>
    <row r="1" spans="1:11" x14ac:dyDescent="0.4">
      <c r="A1">
        <v>0</v>
      </c>
      <c r="B1">
        <v>-2</v>
      </c>
      <c r="D1">
        <f t="shared" ref="D1:D25" si="0">A1^4</f>
        <v>0</v>
      </c>
      <c r="E1">
        <f>A1^3</f>
        <v>0</v>
      </c>
      <c r="F1">
        <f>A1^2</f>
        <v>0</v>
      </c>
      <c r="G1">
        <f>A1</f>
        <v>0</v>
      </c>
      <c r="H1">
        <f>1</f>
        <v>1</v>
      </c>
      <c r="I1">
        <f>(A1^2)*B1</f>
        <v>0</v>
      </c>
      <c r="J1">
        <f>A1*B1</f>
        <v>0</v>
      </c>
      <c r="K1">
        <f>B1</f>
        <v>-2</v>
      </c>
    </row>
    <row r="2" spans="1:11" x14ac:dyDescent="0.4">
      <c r="A2">
        <v>10</v>
      </c>
      <c r="B2">
        <v>23</v>
      </c>
      <c r="D2">
        <f t="shared" si="0"/>
        <v>10000</v>
      </c>
      <c r="E2">
        <f t="shared" ref="E2:E25" si="1">A2^3</f>
        <v>1000</v>
      </c>
      <c r="F2">
        <f t="shared" ref="F2:F25" si="2">A2^2</f>
        <v>100</v>
      </c>
      <c r="G2">
        <f t="shared" ref="G2:G25" si="3">A2</f>
        <v>10</v>
      </c>
      <c r="H2">
        <f>A2^0</f>
        <v>1</v>
      </c>
      <c r="I2">
        <f t="shared" ref="I2:I25" si="4">(A2^2)*B2</f>
        <v>2300</v>
      </c>
      <c r="J2">
        <f t="shared" ref="J2:J25" si="5">A2*B2</f>
        <v>230</v>
      </c>
      <c r="K2">
        <f t="shared" ref="K2:K25" si="6">B2</f>
        <v>23</v>
      </c>
    </row>
    <row r="3" spans="1:11" x14ac:dyDescent="0.4">
      <c r="A3">
        <v>20</v>
      </c>
      <c r="B3">
        <v>46</v>
      </c>
      <c r="D3">
        <f t="shared" si="0"/>
        <v>160000</v>
      </c>
      <c r="E3">
        <f t="shared" si="1"/>
        <v>8000</v>
      </c>
      <c r="F3">
        <f t="shared" si="2"/>
        <v>400</v>
      </c>
      <c r="G3">
        <f t="shared" si="3"/>
        <v>20</v>
      </c>
      <c r="H3">
        <f t="shared" ref="H3:H25" si="7">A3^0</f>
        <v>1</v>
      </c>
      <c r="I3">
        <f t="shared" si="4"/>
        <v>18400</v>
      </c>
      <c r="J3">
        <f t="shared" si="5"/>
        <v>920</v>
      </c>
      <c r="K3">
        <f t="shared" si="6"/>
        <v>46</v>
      </c>
    </row>
    <row r="4" spans="1:11" x14ac:dyDescent="0.4">
      <c r="A4">
        <v>30</v>
      </c>
      <c r="B4">
        <v>63</v>
      </c>
      <c r="D4">
        <f t="shared" si="0"/>
        <v>810000</v>
      </c>
      <c r="E4">
        <f t="shared" si="1"/>
        <v>27000</v>
      </c>
      <c r="F4">
        <f t="shared" si="2"/>
        <v>900</v>
      </c>
      <c r="G4">
        <f t="shared" si="3"/>
        <v>30</v>
      </c>
      <c r="H4">
        <f t="shared" si="7"/>
        <v>1</v>
      </c>
      <c r="I4">
        <f t="shared" si="4"/>
        <v>56700</v>
      </c>
      <c r="J4">
        <f t="shared" si="5"/>
        <v>1890</v>
      </c>
      <c r="K4">
        <f t="shared" si="6"/>
        <v>63</v>
      </c>
    </row>
    <row r="5" spans="1:11" x14ac:dyDescent="0.4">
      <c r="A5">
        <v>40</v>
      </c>
      <c r="B5">
        <v>88</v>
      </c>
      <c r="D5">
        <f t="shared" si="0"/>
        <v>2560000</v>
      </c>
      <c r="E5">
        <f t="shared" si="1"/>
        <v>64000</v>
      </c>
      <c r="F5">
        <f t="shared" si="2"/>
        <v>1600</v>
      </c>
      <c r="G5">
        <f t="shared" si="3"/>
        <v>40</v>
      </c>
      <c r="H5">
        <f t="shared" si="7"/>
        <v>1</v>
      </c>
      <c r="I5">
        <f t="shared" si="4"/>
        <v>140800</v>
      </c>
      <c r="J5">
        <f t="shared" si="5"/>
        <v>3520</v>
      </c>
      <c r="K5">
        <f t="shared" si="6"/>
        <v>88</v>
      </c>
    </row>
    <row r="6" spans="1:11" x14ac:dyDescent="0.4">
      <c r="A6">
        <v>50</v>
      </c>
      <c r="B6">
        <v>96</v>
      </c>
      <c r="D6">
        <f t="shared" si="0"/>
        <v>6250000</v>
      </c>
      <c r="E6">
        <f t="shared" si="1"/>
        <v>125000</v>
      </c>
      <c r="F6">
        <f t="shared" si="2"/>
        <v>2500</v>
      </c>
      <c r="G6">
        <f t="shared" si="3"/>
        <v>50</v>
      </c>
      <c r="H6">
        <f t="shared" si="7"/>
        <v>1</v>
      </c>
      <c r="I6">
        <f t="shared" si="4"/>
        <v>240000</v>
      </c>
      <c r="J6">
        <f t="shared" si="5"/>
        <v>4800</v>
      </c>
      <c r="K6">
        <f t="shared" si="6"/>
        <v>96</v>
      </c>
    </row>
    <row r="7" spans="1:11" x14ac:dyDescent="0.4">
      <c r="A7">
        <v>60</v>
      </c>
      <c r="B7">
        <v>109</v>
      </c>
      <c r="D7">
        <f t="shared" si="0"/>
        <v>12960000</v>
      </c>
      <c r="E7">
        <f t="shared" si="1"/>
        <v>216000</v>
      </c>
      <c r="F7">
        <f t="shared" si="2"/>
        <v>3600</v>
      </c>
      <c r="G7">
        <f t="shared" si="3"/>
        <v>60</v>
      </c>
      <c r="H7">
        <f t="shared" si="7"/>
        <v>1</v>
      </c>
      <c r="I7">
        <f t="shared" si="4"/>
        <v>392400</v>
      </c>
      <c r="J7">
        <f t="shared" si="5"/>
        <v>6540</v>
      </c>
      <c r="K7">
        <f t="shared" si="6"/>
        <v>109</v>
      </c>
    </row>
    <row r="8" spans="1:11" x14ac:dyDescent="0.4">
      <c r="A8">
        <v>70</v>
      </c>
      <c r="B8">
        <v>126</v>
      </c>
      <c r="D8">
        <f t="shared" si="0"/>
        <v>24010000</v>
      </c>
      <c r="E8">
        <f t="shared" si="1"/>
        <v>343000</v>
      </c>
      <c r="F8">
        <f t="shared" si="2"/>
        <v>4900</v>
      </c>
      <c r="G8">
        <f t="shared" si="3"/>
        <v>70</v>
      </c>
      <c r="H8">
        <f t="shared" si="7"/>
        <v>1</v>
      </c>
      <c r="I8">
        <f t="shared" si="4"/>
        <v>617400</v>
      </c>
      <c r="J8">
        <f t="shared" si="5"/>
        <v>8820</v>
      </c>
      <c r="K8">
        <f t="shared" si="6"/>
        <v>126</v>
      </c>
    </row>
    <row r="9" spans="1:11" x14ac:dyDescent="0.4">
      <c r="A9">
        <v>80</v>
      </c>
      <c r="B9">
        <v>129</v>
      </c>
      <c r="D9">
        <f t="shared" si="0"/>
        <v>40960000</v>
      </c>
      <c r="E9">
        <f t="shared" si="1"/>
        <v>512000</v>
      </c>
      <c r="F9">
        <f t="shared" si="2"/>
        <v>6400</v>
      </c>
      <c r="G9">
        <f t="shared" si="3"/>
        <v>80</v>
      </c>
      <c r="H9">
        <f t="shared" si="7"/>
        <v>1</v>
      </c>
      <c r="I9">
        <f t="shared" si="4"/>
        <v>825600</v>
      </c>
      <c r="J9">
        <f t="shared" si="5"/>
        <v>10320</v>
      </c>
      <c r="K9">
        <f t="shared" si="6"/>
        <v>129</v>
      </c>
    </row>
    <row r="10" spans="1:11" x14ac:dyDescent="0.4">
      <c r="A10">
        <v>90</v>
      </c>
      <c r="B10">
        <v>142</v>
      </c>
      <c r="D10">
        <f t="shared" si="0"/>
        <v>65610000</v>
      </c>
      <c r="E10">
        <f t="shared" si="1"/>
        <v>729000</v>
      </c>
      <c r="F10">
        <f t="shared" si="2"/>
        <v>8100</v>
      </c>
      <c r="G10">
        <f t="shared" si="3"/>
        <v>90</v>
      </c>
      <c r="H10">
        <f t="shared" si="7"/>
        <v>1</v>
      </c>
      <c r="I10">
        <f t="shared" si="4"/>
        <v>1150200</v>
      </c>
      <c r="J10">
        <f t="shared" si="5"/>
        <v>12780</v>
      </c>
      <c r="K10">
        <f t="shared" si="6"/>
        <v>142</v>
      </c>
    </row>
    <row r="11" spans="1:11" x14ac:dyDescent="0.4">
      <c r="A11">
        <v>100</v>
      </c>
      <c r="B11">
        <v>145</v>
      </c>
      <c r="D11">
        <f t="shared" si="0"/>
        <v>100000000</v>
      </c>
      <c r="E11">
        <f t="shared" si="1"/>
        <v>1000000</v>
      </c>
      <c r="F11">
        <f t="shared" si="2"/>
        <v>10000</v>
      </c>
      <c r="G11">
        <f t="shared" si="3"/>
        <v>100</v>
      </c>
      <c r="H11">
        <f t="shared" si="7"/>
        <v>1</v>
      </c>
      <c r="I11">
        <f t="shared" si="4"/>
        <v>1450000</v>
      </c>
      <c r="J11">
        <f t="shared" si="5"/>
        <v>14500</v>
      </c>
      <c r="K11">
        <f t="shared" si="6"/>
        <v>145</v>
      </c>
    </row>
    <row r="12" spans="1:11" x14ac:dyDescent="0.4">
      <c r="A12">
        <v>110</v>
      </c>
      <c r="B12">
        <v>147</v>
      </c>
      <c r="D12">
        <f t="shared" si="0"/>
        <v>146410000</v>
      </c>
      <c r="E12">
        <f t="shared" si="1"/>
        <v>1331000</v>
      </c>
      <c r="F12">
        <f t="shared" si="2"/>
        <v>12100</v>
      </c>
      <c r="G12">
        <f t="shared" si="3"/>
        <v>110</v>
      </c>
      <c r="H12">
        <f t="shared" si="7"/>
        <v>1</v>
      </c>
      <c r="I12">
        <f t="shared" si="4"/>
        <v>1778700</v>
      </c>
      <c r="J12">
        <f t="shared" si="5"/>
        <v>16170</v>
      </c>
      <c r="K12">
        <f t="shared" si="6"/>
        <v>147</v>
      </c>
    </row>
    <row r="13" spans="1:11" x14ac:dyDescent="0.4">
      <c r="A13">
        <v>120</v>
      </c>
      <c r="B13">
        <v>154</v>
      </c>
      <c r="D13">
        <f t="shared" si="0"/>
        <v>207360000</v>
      </c>
      <c r="E13">
        <f t="shared" si="1"/>
        <v>1728000</v>
      </c>
      <c r="F13">
        <f t="shared" si="2"/>
        <v>14400</v>
      </c>
      <c r="G13">
        <f t="shared" si="3"/>
        <v>120</v>
      </c>
      <c r="H13">
        <f t="shared" si="7"/>
        <v>1</v>
      </c>
      <c r="I13">
        <f t="shared" si="4"/>
        <v>2217600</v>
      </c>
      <c r="J13">
        <f t="shared" si="5"/>
        <v>18480</v>
      </c>
      <c r="K13">
        <f t="shared" si="6"/>
        <v>154</v>
      </c>
    </row>
    <row r="14" spans="1:11" x14ac:dyDescent="0.4">
      <c r="A14">
        <v>130</v>
      </c>
      <c r="B14">
        <v>149</v>
      </c>
      <c r="D14">
        <f t="shared" si="0"/>
        <v>285610000</v>
      </c>
      <c r="E14">
        <f t="shared" si="1"/>
        <v>2197000</v>
      </c>
      <c r="F14">
        <f t="shared" si="2"/>
        <v>16900</v>
      </c>
      <c r="G14">
        <f t="shared" si="3"/>
        <v>130</v>
      </c>
      <c r="H14">
        <f t="shared" si="7"/>
        <v>1</v>
      </c>
      <c r="I14">
        <f t="shared" si="4"/>
        <v>2518100</v>
      </c>
      <c r="J14">
        <f t="shared" si="5"/>
        <v>19370</v>
      </c>
      <c r="K14">
        <f t="shared" si="6"/>
        <v>149</v>
      </c>
    </row>
    <row r="15" spans="1:11" x14ac:dyDescent="0.4">
      <c r="A15">
        <v>140</v>
      </c>
      <c r="B15">
        <v>150</v>
      </c>
      <c r="D15">
        <f t="shared" si="0"/>
        <v>384160000</v>
      </c>
      <c r="E15">
        <f t="shared" si="1"/>
        <v>2744000</v>
      </c>
      <c r="F15">
        <f t="shared" si="2"/>
        <v>19600</v>
      </c>
      <c r="G15">
        <f t="shared" si="3"/>
        <v>140</v>
      </c>
      <c r="H15">
        <f t="shared" si="7"/>
        <v>1</v>
      </c>
      <c r="I15">
        <f t="shared" si="4"/>
        <v>2940000</v>
      </c>
      <c r="J15">
        <f t="shared" si="5"/>
        <v>21000</v>
      </c>
      <c r="K15">
        <f t="shared" si="6"/>
        <v>150</v>
      </c>
    </row>
    <row r="16" spans="1:11" x14ac:dyDescent="0.4">
      <c r="A16">
        <v>150</v>
      </c>
      <c r="B16">
        <v>144</v>
      </c>
      <c r="D16">
        <f t="shared" si="0"/>
        <v>506250000</v>
      </c>
      <c r="E16">
        <f t="shared" si="1"/>
        <v>3375000</v>
      </c>
      <c r="F16">
        <f t="shared" si="2"/>
        <v>22500</v>
      </c>
      <c r="G16">
        <f t="shared" si="3"/>
        <v>150</v>
      </c>
      <c r="H16">
        <f t="shared" si="7"/>
        <v>1</v>
      </c>
      <c r="I16">
        <f t="shared" si="4"/>
        <v>3240000</v>
      </c>
      <c r="J16">
        <f t="shared" si="5"/>
        <v>21600</v>
      </c>
      <c r="K16">
        <f t="shared" si="6"/>
        <v>144</v>
      </c>
    </row>
    <row r="17" spans="1:11" x14ac:dyDescent="0.4">
      <c r="A17">
        <v>160</v>
      </c>
      <c r="B17">
        <v>135</v>
      </c>
      <c r="D17">
        <f t="shared" si="0"/>
        <v>655360000</v>
      </c>
      <c r="E17">
        <f t="shared" si="1"/>
        <v>4096000</v>
      </c>
      <c r="F17">
        <f t="shared" si="2"/>
        <v>25600</v>
      </c>
      <c r="G17">
        <f t="shared" si="3"/>
        <v>160</v>
      </c>
      <c r="H17">
        <f t="shared" si="7"/>
        <v>1</v>
      </c>
      <c r="I17">
        <f t="shared" si="4"/>
        <v>3456000</v>
      </c>
      <c r="J17">
        <f t="shared" si="5"/>
        <v>21600</v>
      </c>
      <c r="K17">
        <f t="shared" si="6"/>
        <v>135</v>
      </c>
    </row>
    <row r="18" spans="1:11" x14ac:dyDescent="0.4">
      <c r="A18">
        <v>170</v>
      </c>
      <c r="B18">
        <v>126</v>
      </c>
      <c r="D18">
        <f t="shared" si="0"/>
        <v>835210000</v>
      </c>
      <c r="E18">
        <f t="shared" si="1"/>
        <v>4913000</v>
      </c>
      <c r="F18">
        <f t="shared" si="2"/>
        <v>28900</v>
      </c>
      <c r="G18">
        <f t="shared" si="3"/>
        <v>170</v>
      </c>
      <c r="H18">
        <f t="shared" si="7"/>
        <v>1</v>
      </c>
      <c r="I18">
        <f t="shared" si="4"/>
        <v>3641400</v>
      </c>
      <c r="J18">
        <f t="shared" si="5"/>
        <v>21420</v>
      </c>
      <c r="K18">
        <f t="shared" si="6"/>
        <v>126</v>
      </c>
    </row>
    <row r="19" spans="1:11" x14ac:dyDescent="0.4">
      <c r="A19">
        <v>180</v>
      </c>
      <c r="B19">
        <v>113</v>
      </c>
      <c r="D19">
        <f t="shared" si="0"/>
        <v>1049760000</v>
      </c>
      <c r="E19">
        <f t="shared" si="1"/>
        <v>5832000</v>
      </c>
      <c r="F19">
        <f t="shared" si="2"/>
        <v>32400</v>
      </c>
      <c r="G19">
        <f t="shared" si="3"/>
        <v>180</v>
      </c>
      <c r="H19">
        <f t="shared" si="7"/>
        <v>1</v>
      </c>
      <c r="I19">
        <f t="shared" si="4"/>
        <v>3661200</v>
      </c>
      <c r="J19">
        <f t="shared" si="5"/>
        <v>20340</v>
      </c>
      <c r="K19">
        <f t="shared" si="6"/>
        <v>113</v>
      </c>
    </row>
    <row r="20" spans="1:11" x14ac:dyDescent="0.4">
      <c r="A20">
        <v>190</v>
      </c>
      <c r="B20">
        <v>98</v>
      </c>
      <c r="D20">
        <f t="shared" si="0"/>
        <v>1303210000</v>
      </c>
      <c r="E20">
        <f t="shared" si="1"/>
        <v>6859000</v>
      </c>
      <c r="F20">
        <f t="shared" si="2"/>
        <v>36100</v>
      </c>
      <c r="G20">
        <f t="shared" si="3"/>
        <v>190</v>
      </c>
      <c r="H20">
        <f t="shared" si="7"/>
        <v>1</v>
      </c>
      <c r="I20">
        <f t="shared" si="4"/>
        <v>3537800</v>
      </c>
      <c r="J20">
        <f t="shared" si="5"/>
        <v>18620</v>
      </c>
      <c r="K20">
        <f t="shared" si="6"/>
        <v>98</v>
      </c>
    </row>
    <row r="21" spans="1:11" x14ac:dyDescent="0.4">
      <c r="A21">
        <v>200</v>
      </c>
      <c r="B21">
        <v>88</v>
      </c>
      <c r="D21">
        <f t="shared" si="0"/>
        <v>1600000000</v>
      </c>
      <c r="E21">
        <f t="shared" si="1"/>
        <v>8000000</v>
      </c>
      <c r="F21">
        <f t="shared" si="2"/>
        <v>40000</v>
      </c>
      <c r="G21">
        <f t="shared" si="3"/>
        <v>200</v>
      </c>
      <c r="H21">
        <f t="shared" si="7"/>
        <v>1</v>
      </c>
      <c r="I21">
        <f t="shared" si="4"/>
        <v>3520000</v>
      </c>
      <c r="J21">
        <f t="shared" si="5"/>
        <v>17600</v>
      </c>
      <c r="K21">
        <f t="shared" si="6"/>
        <v>88</v>
      </c>
    </row>
    <row r="22" spans="1:11" x14ac:dyDescent="0.4">
      <c r="A22">
        <v>210</v>
      </c>
      <c r="B22">
        <v>64</v>
      </c>
      <c r="D22">
        <f t="shared" si="0"/>
        <v>1944810000</v>
      </c>
      <c r="E22">
        <f t="shared" si="1"/>
        <v>9261000</v>
      </c>
      <c r="F22">
        <f t="shared" si="2"/>
        <v>44100</v>
      </c>
      <c r="G22">
        <f t="shared" si="3"/>
        <v>210</v>
      </c>
      <c r="H22">
        <f t="shared" si="7"/>
        <v>1</v>
      </c>
      <c r="I22">
        <f t="shared" si="4"/>
        <v>2822400</v>
      </c>
      <c r="J22">
        <f t="shared" si="5"/>
        <v>13440</v>
      </c>
      <c r="K22">
        <f t="shared" si="6"/>
        <v>64</v>
      </c>
    </row>
    <row r="23" spans="1:11" x14ac:dyDescent="0.4">
      <c r="A23">
        <v>220</v>
      </c>
      <c r="B23">
        <v>43</v>
      </c>
      <c r="D23">
        <f t="shared" si="0"/>
        <v>2342560000</v>
      </c>
      <c r="E23">
        <f t="shared" si="1"/>
        <v>10648000</v>
      </c>
      <c r="F23">
        <f t="shared" si="2"/>
        <v>48400</v>
      </c>
      <c r="G23">
        <f t="shared" si="3"/>
        <v>220</v>
      </c>
      <c r="H23">
        <f t="shared" si="7"/>
        <v>1</v>
      </c>
      <c r="I23">
        <f t="shared" si="4"/>
        <v>2081200</v>
      </c>
      <c r="J23">
        <f t="shared" si="5"/>
        <v>9460</v>
      </c>
      <c r="K23">
        <f t="shared" si="6"/>
        <v>43</v>
      </c>
    </row>
    <row r="24" spans="1:11" x14ac:dyDescent="0.4">
      <c r="A24">
        <v>230</v>
      </c>
      <c r="B24">
        <v>22</v>
      </c>
      <c r="D24">
        <f t="shared" si="0"/>
        <v>2798410000</v>
      </c>
      <c r="E24">
        <f t="shared" si="1"/>
        <v>12167000</v>
      </c>
      <c r="F24">
        <f t="shared" si="2"/>
        <v>52900</v>
      </c>
      <c r="G24">
        <f t="shared" si="3"/>
        <v>230</v>
      </c>
      <c r="H24">
        <f t="shared" si="7"/>
        <v>1</v>
      </c>
      <c r="I24">
        <f t="shared" si="4"/>
        <v>1163800</v>
      </c>
      <c r="J24">
        <f t="shared" si="5"/>
        <v>5060</v>
      </c>
      <c r="K24">
        <f t="shared" si="6"/>
        <v>22</v>
      </c>
    </row>
    <row r="25" spans="1:11" x14ac:dyDescent="0.4">
      <c r="A25">
        <v>240</v>
      </c>
      <c r="B25">
        <v>4</v>
      </c>
      <c r="D25">
        <f t="shared" si="0"/>
        <v>3317760000</v>
      </c>
      <c r="E25">
        <f t="shared" si="1"/>
        <v>13824000</v>
      </c>
      <c r="F25">
        <f t="shared" si="2"/>
        <v>57600</v>
      </c>
      <c r="G25">
        <f t="shared" si="3"/>
        <v>240</v>
      </c>
      <c r="H25">
        <f t="shared" si="7"/>
        <v>1</v>
      </c>
      <c r="I25">
        <f t="shared" si="4"/>
        <v>230400</v>
      </c>
      <c r="J25">
        <f t="shared" si="5"/>
        <v>960</v>
      </c>
      <c r="K25">
        <f t="shared" si="6"/>
        <v>4</v>
      </c>
    </row>
    <row r="27" spans="1:11" x14ac:dyDescent="0.4">
      <c r="D27">
        <f>SUM(D1:D25)</f>
        <v>17630200000</v>
      </c>
      <c r="E27">
        <f>SUM(E1:E25)</f>
        <v>90000000</v>
      </c>
      <c r="F27">
        <f>SUM(F1:F25)</f>
        <v>490000</v>
      </c>
    </row>
    <row r="28" spans="1:11" x14ac:dyDescent="0.4">
      <c r="D28">
        <f>SUM(E1:E25)</f>
        <v>90000000</v>
      </c>
      <c r="E28">
        <f>SUM(F1:F25)</f>
        <v>490000</v>
      </c>
      <c r="F28">
        <f>SUM(G1:G25)</f>
        <v>3000</v>
      </c>
    </row>
    <row r="29" spans="1:11" x14ac:dyDescent="0.4">
      <c r="D29">
        <f>SUM(F1:F25)</f>
        <v>490000</v>
      </c>
      <c r="E29">
        <f>SUM(G1:G25)</f>
        <v>3000</v>
      </c>
      <c r="F29">
        <f>SUM(H1:H25)</f>
        <v>25</v>
      </c>
    </row>
    <row r="31" spans="1:11" x14ac:dyDescent="0.4">
      <c r="D31" cm="1">
        <f t="array" ref="D31:F33">MINVERSE(D27:F29)</f>
        <v>1.8580453363062065E-9</v>
      </c>
      <c r="E31">
        <v>-4.4593088071348945E-7</v>
      </c>
      <c r="F31">
        <v>1.7094017094017089E-5</v>
      </c>
      <c r="H31">
        <f>SUM(I1:I25)</f>
        <v>41702400</v>
      </c>
    </row>
    <row r="32" spans="1:11" x14ac:dyDescent="0.4">
      <c r="D32">
        <v>-4.4593088071348951E-7</v>
      </c>
      <c r="E32">
        <v>1.1471571906354516E-4</v>
      </c>
      <c r="F32">
        <v>-5.025641025641024E-3</v>
      </c>
      <c r="H32">
        <f>SUM(J1:J25)</f>
        <v>289440</v>
      </c>
    </row>
    <row r="33" spans="1:8" x14ac:dyDescent="0.4">
      <c r="D33">
        <v>1.7094017094017095E-5</v>
      </c>
      <c r="E33">
        <v>-5.0256410256410249E-3</v>
      </c>
      <c r="F33">
        <v>0.30803418803418792</v>
      </c>
      <c r="H33">
        <f>SUM(K1:K25)</f>
        <v>2402</v>
      </c>
    </row>
    <row r="36" spans="1:8" x14ac:dyDescent="0.4">
      <c r="D36" cm="1">
        <f t="array" ref="D36:D38">MMULT(D31:F33,H31:H33)</f>
        <v>-1.0525455221107392E-2</v>
      </c>
    </row>
    <row r="37" spans="1:8" x14ac:dyDescent="0.4">
      <c r="D37">
        <v>2.5353400222965483</v>
      </c>
    </row>
    <row r="38" spans="1:8" x14ac:dyDescent="0.4">
      <c r="D38">
        <v>-1.8618803418802372</v>
      </c>
    </row>
    <row r="40" spans="1:8" x14ac:dyDescent="0.4">
      <c r="A40" t="s">
        <v>0</v>
      </c>
      <c r="B40" t="s">
        <v>1</v>
      </c>
    </row>
    <row r="41" spans="1:8" x14ac:dyDescent="0.4">
      <c r="A41">
        <v>0</v>
      </c>
      <c r="B41">
        <f>-0.010525455*(A41^2)+2.535340022*A41-1.861880342</f>
        <v>-1.8618803420000001</v>
      </c>
      <c r="C41">
        <v>-2</v>
      </c>
    </row>
    <row r="42" spans="1:8" x14ac:dyDescent="0.4">
      <c r="A42">
        <v>10</v>
      </c>
      <c r="B42">
        <f>-0.010525455*(A42^2)+2.535340022*A42-1.861880342</f>
        <v>22.438974378000001</v>
      </c>
      <c r="C42">
        <v>23</v>
      </c>
    </row>
    <row r="43" spans="1:8" x14ac:dyDescent="0.4">
      <c r="A43">
        <v>20</v>
      </c>
      <c r="B43">
        <f t="shared" ref="B43:B65" si="8">-0.010525455*(A43^2)+2.535340022*A43-1.861880342</f>
        <v>44.634738098000007</v>
      </c>
      <c r="C43">
        <v>46</v>
      </c>
    </row>
    <row r="44" spans="1:8" x14ac:dyDescent="0.4">
      <c r="A44">
        <v>30</v>
      </c>
      <c r="B44">
        <f t="shared" si="8"/>
        <v>64.725410818</v>
      </c>
      <c r="C44">
        <v>63</v>
      </c>
    </row>
    <row r="45" spans="1:8" x14ac:dyDescent="0.4">
      <c r="A45">
        <v>40</v>
      </c>
      <c r="B45">
        <f t="shared" si="8"/>
        <v>82.710992537999999</v>
      </c>
      <c r="C45">
        <v>88</v>
      </c>
    </row>
    <row r="46" spans="1:8" x14ac:dyDescent="0.4">
      <c r="A46">
        <v>50</v>
      </c>
      <c r="B46">
        <f t="shared" si="8"/>
        <v>98.591483258000011</v>
      </c>
      <c r="C46">
        <v>96</v>
      </c>
    </row>
    <row r="47" spans="1:8" x14ac:dyDescent="0.4">
      <c r="A47">
        <v>60</v>
      </c>
      <c r="B47">
        <f t="shared" si="8"/>
        <v>112.36688297800001</v>
      </c>
      <c r="C47">
        <v>109</v>
      </c>
    </row>
    <row r="48" spans="1:8" x14ac:dyDescent="0.4">
      <c r="A48">
        <v>70</v>
      </c>
      <c r="B48">
        <f t="shared" si="8"/>
        <v>124.03719169800002</v>
      </c>
      <c r="C48">
        <v>126</v>
      </c>
    </row>
    <row r="49" spans="1:3" x14ac:dyDescent="0.4">
      <c r="A49">
        <v>80</v>
      </c>
      <c r="B49">
        <f t="shared" si="8"/>
        <v>133.60240941800001</v>
      </c>
      <c r="C49">
        <v>129</v>
      </c>
    </row>
    <row r="50" spans="1:3" x14ac:dyDescent="0.4">
      <c r="A50">
        <v>90</v>
      </c>
      <c r="B50">
        <f t="shared" si="8"/>
        <v>141.06253613799998</v>
      </c>
      <c r="C50">
        <v>142</v>
      </c>
    </row>
    <row r="51" spans="1:3" x14ac:dyDescent="0.4">
      <c r="A51">
        <v>100</v>
      </c>
      <c r="B51">
        <f t="shared" si="8"/>
        <v>146.41757185800003</v>
      </c>
      <c r="C51">
        <v>145</v>
      </c>
    </row>
    <row r="52" spans="1:3" x14ac:dyDescent="0.4">
      <c r="A52">
        <v>110</v>
      </c>
      <c r="B52">
        <f t="shared" si="8"/>
        <v>149.667516578</v>
      </c>
      <c r="C52">
        <v>147</v>
      </c>
    </row>
    <row r="53" spans="1:3" x14ac:dyDescent="0.4">
      <c r="A53">
        <v>120</v>
      </c>
      <c r="B53">
        <f t="shared" si="8"/>
        <v>150.81237029800002</v>
      </c>
      <c r="C53">
        <v>154</v>
      </c>
    </row>
    <row r="54" spans="1:3" x14ac:dyDescent="0.4">
      <c r="A54">
        <v>130</v>
      </c>
      <c r="B54">
        <f t="shared" si="8"/>
        <v>149.85213301800005</v>
      </c>
      <c r="C54">
        <v>149</v>
      </c>
    </row>
    <row r="55" spans="1:3" x14ac:dyDescent="0.4">
      <c r="A55">
        <v>140</v>
      </c>
      <c r="B55">
        <f t="shared" si="8"/>
        <v>146.78680473800003</v>
      </c>
      <c r="C55">
        <v>150</v>
      </c>
    </row>
    <row r="56" spans="1:3" x14ac:dyDescent="0.4">
      <c r="A56">
        <v>150</v>
      </c>
      <c r="B56">
        <f t="shared" si="8"/>
        <v>141.61638545800005</v>
      </c>
      <c r="C56">
        <v>144</v>
      </c>
    </row>
    <row r="57" spans="1:3" x14ac:dyDescent="0.4">
      <c r="A57">
        <v>160</v>
      </c>
      <c r="B57">
        <f t="shared" si="8"/>
        <v>134.34087517800003</v>
      </c>
      <c r="C57">
        <v>135</v>
      </c>
    </row>
    <row r="58" spans="1:3" x14ac:dyDescent="0.4">
      <c r="A58">
        <v>170</v>
      </c>
      <c r="B58">
        <f t="shared" si="8"/>
        <v>124.96027389800003</v>
      </c>
      <c r="C58">
        <v>126</v>
      </c>
    </row>
    <row r="59" spans="1:3" x14ac:dyDescent="0.4">
      <c r="A59">
        <v>180</v>
      </c>
      <c r="B59">
        <f t="shared" si="8"/>
        <v>113.474581618</v>
      </c>
      <c r="C59">
        <v>113</v>
      </c>
    </row>
    <row r="60" spans="1:3" x14ac:dyDescent="0.4">
      <c r="A60">
        <v>190</v>
      </c>
      <c r="B60">
        <f t="shared" si="8"/>
        <v>99.883798338000076</v>
      </c>
      <c r="C60">
        <v>98</v>
      </c>
    </row>
    <row r="61" spans="1:3" x14ac:dyDescent="0.4">
      <c r="A61">
        <v>200</v>
      </c>
      <c r="B61">
        <f t="shared" si="8"/>
        <v>84.187924058000078</v>
      </c>
      <c r="C61">
        <v>88</v>
      </c>
    </row>
    <row r="62" spans="1:3" x14ac:dyDescent="0.4">
      <c r="A62">
        <v>210</v>
      </c>
      <c r="B62">
        <f t="shared" si="8"/>
        <v>66.386958778000121</v>
      </c>
      <c r="C62">
        <v>64</v>
      </c>
    </row>
    <row r="63" spans="1:3" x14ac:dyDescent="0.4">
      <c r="A63">
        <v>220</v>
      </c>
      <c r="B63">
        <f t="shared" si="8"/>
        <v>46.480902498000042</v>
      </c>
      <c r="C63">
        <v>43</v>
      </c>
    </row>
    <row r="64" spans="1:3" x14ac:dyDescent="0.4">
      <c r="A64">
        <v>230</v>
      </c>
      <c r="B64">
        <f t="shared" si="8"/>
        <v>24.46975521800011</v>
      </c>
      <c r="C64">
        <v>22</v>
      </c>
    </row>
    <row r="65" spans="1:3" x14ac:dyDescent="0.4">
      <c r="A65">
        <v>240</v>
      </c>
      <c r="B65">
        <f t="shared" si="8"/>
        <v>0.35351693800004735</v>
      </c>
      <c r="C65">
        <v>4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石田優仁</dc:creator>
  <cp:lastModifiedBy>石田優仁</cp:lastModifiedBy>
  <dcterms:created xsi:type="dcterms:W3CDTF">2020-08-14T14:43:09Z</dcterms:created>
  <dcterms:modified xsi:type="dcterms:W3CDTF">2020-11-08T12:19:13Z</dcterms:modified>
</cp:coreProperties>
</file>